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ferrerx\Documents\GitHub\Cell_stretcher_8DOF\Actuator test\"/>
    </mc:Choice>
  </mc:AlternateContent>
  <xr:revisionPtr revIDLastSave="0" documentId="13_ncr:1_{43F2AF8F-863C-4C35-A644-1770B40289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3" sheetId="3" r:id="rId1"/>
    <sheet name="Sheet2" sheetId="2" r:id="rId2"/>
    <sheet name="Sheet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2" l="1"/>
  <c r="H15" i="2"/>
  <c r="B9" i="2"/>
  <c r="B10" i="2"/>
  <c r="J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8" i="3"/>
  <c r="T10" i="2"/>
  <c r="T9" i="2"/>
  <c r="V15" i="2" s="1"/>
  <c r="T8" i="2"/>
  <c r="V14" i="2" s="1"/>
  <c r="R10" i="2"/>
  <c r="R9" i="2"/>
  <c r="R8" i="2"/>
  <c r="T14" i="2" s="1"/>
  <c r="P10" i="2"/>
  <c r="P9" i="2"/>
  <c r="R15" i="2" s="1"/>
  <c r="R16" i="2" s="1"/>
  <c r="P8" i="2"/>
  <c r="R14" i="2" s="1"/>
  <c r="N10" i="2"/>
  <c r="N9" i="2"/>
  <c r="N8" i="2"/>
  <c r="P14" i="2" s="1"/>
  <c r="L10" i="2"/>
  <c r="L9" i="2"/>
  <c r="N15" i="2" s="1"/>
  <c r="L8" i="2"/>
  <c r="J10" i="2"/>
  <c r="J9" i="2"/>
  <c r="L15" i="2" s="1"/>
  <c r="L16" i="2" s="1"/>
  <c r="J8" i="2"/>
  <c r="L14" i="2" s="1"/>
  <c r="H10" i="2"/>
  <c r="H9" i="2"/>
  <c r="J15" i="2" s="1"/>
  <c r="J16" i="2" s="1"/>
  <c r="H8" i="2"/>
  <c r="J14" i="2" s="1"/>
  <c r="F10" i="2"/>
  <c r="H16" i="2" s="1"/>
  <c r="F9" i="2"/>
  <c r="F8" i="2"/>
  <c r="H14" i="2" s="1"/>
  <c r="D10" i="2"/>
  <c r="D9" i="2"/>
  <c r="F15" i="2" s="1"/>
  <c r="D8" i="2"/>
  <c r="F14" i="2" s="1"/>
  <c r="B8" i="2"/>
  <c r="D14" i="2" s="1"/>
  <c r="T15" i="2" l="1"/>
  <c r="T16" i="2" s="1"/>
  <c r="D15" i="2"/>
  <c r="D16" i="2" s="1"/>
  <c r="P15" i="2"/>
  <c r="F16" i="2"/>
  <c r="V16" i="2"/>
  <c r="N16" i="2"/>
  <c r="P16" i="2"/>
</calcChain>
</file>

<file path=xl/sharedStrings.xml><?xml version="1.0" encoding="utf-8"?>
<sst xmlns="http://schemas.openxmlformats.org/spreadsheetml/2006/main" count="4" uniqueCount="4">
  <si>
    <t>Steps</t>
  </si>
  <si>
    <t>um</t>
  </si>
  <si>
    <t>Average</t>
  </si>
  <si>
    <t>1 revolution distance (400 steps)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</si>
</sst>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 stretcher test (increments of 10 steps)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Sheet3!$F$6</c:f>
              <c:strCache>
                <c:ptCount val="1"/>
                <c:pt idx="0">
                  <c:v>um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763779527559053E-2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Sheet3!$E$7:$E$33</c:f>
              <c:numCache>
                <c:formatCode>General</c:formatCode>
                <c:ptCount val="2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</c:numCache>
            </c:numRef>
          </c:xVal>
          <c:yVal>
            <c:numRef>
              <c:f>Sheet3!$F$7:$F$33</c:f>
              <c:numCache>
                <c:formatCode>General</c:formatCode>
                <c:ptCount val="27"/>
                <c:pt idx="0">
                  <c:v>2</c:v>
                </c:pt>
                <c:pt idx="1">
                  <c:v>17</c:v>
                </c:pt>
                <c:pt idx="2">
                  <c:v>33</c:v>
                </c:pt>
                <c:pt idx="3">
                  <c:v>48</c:v>
                </c:pt>
                <c:pt idx="4">
                  <c:v>64</c:v>
                </c:pt>
                <c:pt idx="5">
                  <c:v>80</c:v>
                </c:pt>
                <c:pt idx="6">
                  <c:v>95</c:v>
                </c:pt>
                <c:pt idx="7">
                  <c:v>111</c:v>
                </c:pt>
                <c:pt idx="8">
                  <c:v>127</c:v>
                </c:pt>
                <c:pt idx="9">
                  <c:v>142</c:v>
                </c:pt>
                <c:pt idx="10">
                  <c:v>159</c:v>
                </c:pt>
                <c:pt idx="11">
                  <c:v>174</c:v>
                </c:pt>
                <c:pt idx="12">
                  <c:v>190</c:v>
                </c:pt>
                <c:pt idx="13">
                  <c:v>206</c:v>
                </c:pt>
                <c:pt idx="14">
                  <c:v>222</c:v>
                </c:pt>
                <c:pt idx="15">
                  <c:v>238</c:v>
                </c:pt>
                <c:pt idx="16">
                  <c:v>255</c:v>
                </c:pt>
                <c:pt idx="17">
                  <c:v>271</c:v>
                </c:pt>
                <c:pt idx="18">
                  <c:v>287</c:v>
                </c:pt>
                <c:pt idx="19">
                  <c:v>303</c:v>
                </c:pt>
                <c:pt idx="20">
                  <c:v>319</c:v>
                </c:pt>
                <c:pt idx="21">
                  <c:v>335</c:v>
                </c:pt>
                <c:pt idx="22">
                  <c:v>351</c:v>
                </c:pt>
                <c:pt idx="23">
                  <c:v>367</c:v>
                </c:pt>
                <c:pt idx="24">
                  <c:v>383</c:v>
                </c:pt>
                <c:pt idx="25">
                  <c:v>399</c:v>
                </c:pt>
                <c:pt idx="26">
                  <c:v>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9A-4023-A09F-C4DAE7B35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383648"/>
        <c:axId val="375385288"/>
      </c:scatterChart>
      <c:valAx>
        <c:axId val="37538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Steps</a:t>
                </a:r>
                <a:r>
                  <a:rPr lang="en-US" baseline="0"/>
                  <a:t> (Microstepping 1/2 step)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385288"/>
        <c:crosses val="autoZero"/>
        <c:crossBetween val="midCat"/>
      </c:valAx>
      <c:valAx>
        <c:axId val="375385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um (Mitutoyo</a:t>
                </a:r>
                <a:r>
                  <a:rPr lang="en-US" baseline="0"/>
                  <a:t> dial indicator)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38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Cell stretcher test (10</a:t>
            </a:r>
            <a:r>
              <a:rPr lang="en-US" sz="1200" baseline="0"/>
              <a:t> samples of </a:t>
            </a:r>
            <a:r>
              <a:rPr lang="en-US" sz="1200" b="0" i="0" u="none" strike="noStrike" baseline="0">
                <a:effectLst/>
              </a:rPr>
              <a:t>400 steps i</a:t>
            </a:r>
            <a:r>
              <a:rPr lang="en-US" sz="1200"/>
              <a:t>ncrements)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xVal>
            <c:numRef>
              <c:f>Sheet2!$C$14:$C$16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Sheet2!$D$14:$D$16</c:f>
              <c:numCache>
                <c:formatCode>General</c:formatCode>
                <c:ptCount val="3"/>
                <c:pt idx="0">
                  <c:v>625</c:v>
                </c:pt>
                <c:pt idx="1">
                  <c:v>1258</c:v>
                </c:pt>
                <c:pt idx="2">
                  <c:v>1893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5772-4DFE-8C6D-BBEA96CC7CE2}"/>
            </c:ext>
          </c:extLst>
        </c:ser>
        <c:ser>
          <c:idx val="2"/>
          <c:order val="1"/>
          <c:spPr>
            <a:ln w="19050" cap="rnd">
              <a:noFill/>
              <a:round/>
            </a:ln>
            <a:effectLst/>
          </c:spPr>
          <c:xVal>
            <c:numRef>
              <c:f>Sheet2!$E$14:$E$16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Sheet2!$F$14:$F$16</c:f>
              <c:numCache>
                <c:formatCode>General</c:formatCode>
                <c:ptCount val="3"/>
                <c:pt idx="0">
                  <c:v>627</c:v>
                </c:pt>
                <c:pt idx="1">
                  <c:v>1260</c:v>
                </c:pt>
                <c:pt idx="2">
                  <c:v>1895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5772-4DFE-8C6D-BBEA96CC7CE2}"/>
            </c:ext>
          </c:extLst>
        </c:ser>
        <c:ser>
          <c:idx val="3"/>
          <c:order val="2"/>
          <c:spPr>
            <a:ln w="19050" cap="rnd">
              <a:noFill/>
              <a:round/>
            </a:ln>
            <a:effectLst/>
          </c:spPr>
          <c:xVal>
            <c:numRef>
              <c:f>Sheet2!$G$14:$G$16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Sheet2!$H$14:$H$16</c:f>
              <c:numCache>
                <c:formatCode>General</c:formatCode>
                <c:ptCount val="3"/>
                <c:pt idx="0">
                  <c:v>628</c:v>
                </c:pt>
                <c:pt idx="1">
                  <c:v>1264</c:v>
                </c:pt>
                <c:pt idx="2">
                  <c:v>1899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5772-4DFE-8C6D-BBEA96CC7CE2}"/>
            </c:ext>
          </c:extLst>
        </c:ser>
        <c:ser>
          <c:idx val="4"/>
          <c:order val="3"/>
          <c:spPr>
            <a:ln w="19050" cap="rnd">
              <a:noFill/>
              <a:round/>
            </a:ln>
            <a:effectLst/>
          </c:spPr>
          <c:xVal>
            <c:numRef>
              <c:f>Sheet2!$I$14:$I$16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Sheet2!$J$14:$J$16</c:f>
              <c:numCache>
                <c:formatCode>General</c:formatCode>
                <c:ptCount val="3"/>
                <c:pt idx="0">
                  <c:v>628</c:v>
                </c:pt>
                <c:pt idx="1">
                  <c:v>1263</c:v>
                </c:pt>
                <c:pt idx="2">
                  <c:v>1899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5772-4DFE-8C6D-BBEA96CC7CE2}"/>
            </c:ext>
          </c:extLst>
        </c:ser>
        <c:ser>
          <c:idx val="5"/>
          <c:order val="4"/>
          <c:spPr>
            <a:ln w="19050" cap="rnd">
              <a:noFill/>
              <a:round/>
            </a:ln>
            <a:effectLst/>
          </c:spPr>
          <c:xVal>
            <c:numRef>
              <c:f>Sheet2!$K$14:$K$16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Sheet2!$L$14:$L$16</c:f>
              <c:numCache>
                <c:formatCode>General</c:formatCode>
                <c:ptCount val="3"/>
                <c:pt idx="0">
                  <c:v>631</c:v>
                </c:pt>
                <c:pt idx="1">
                  <c:v>1266</c:v>
                </c:pt>
                <c:pt idx="2">
                  <c:v>1901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5772-4DFE-8C6D-BBEA96CC7CE2}"/>
            </c:ext>
          </c:extLst>
        </c:ser>
        <c:ser>
          <c:idx val="6"/>
          <c:order val="5"/>
          <c:spPr>
            <a:ln w="19050" cap="rnd">
              <a:noFill/>
              <a:round/>
            </a:ln>
            <a:effectLst/>
          </c:spPr>
          <c:xVal>
            <c:numRef>
              <c:f>Sheet2!$M$14:$M$16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Sheet2!$N$14:$N$16</c:f>
              <c:numCache>
                <c:formatCode>General</c:formatCode>
                <c:ptCount val="3"/>
                <c:pt idx="0">
                  <c:v>631</c:v>
                </c:pt>
                <c:pt idx="1">
                  <c:v>1266</c:v>
                </c:pt>
                <c:pt idx="2">
                  <c:v>1901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5772-4DFE-8C6D-BBEA96CC7CE2}"/>
            </c:ext>
          </c:extLst>
        </c:ser>
        <c:ser>
          <c:idx val="7"/>
          <c:order val="6"/>
          <c:spPr>
            <a:ln w="19050" cap="rnd">
              <a:noFill/>
              <a:round/>
            </a:ln>
            <a:effectLst/>
          </c:spPr>
          <c:xVal>
            <c:numRef>
              <c:f>Sheet2!$O$14:$O$16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Sheet2!$P$14:$P$16</c:f>
              <c:numCache>
                <c:formatCode>General</c:formatCode>
                <c:ptCount val="3"/>
                <c:pt idx="0">
                  <c:v>631</c:v>
                </c:pt>
                <c:pt idx="1">
                  <c:v>1266</c:v>
                </c:pt>
                <c:pt idx="2">
                  <c:v>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5772-4DFE-8C6D-BBEA96CC7CE2}"/>
            </c:ext>
          </c:extLst>
        </c:ser>
        <c:ser>
          <c:idx val="8"/>
          <c:order val="7"/>
          <c:spPr>
            <a:ln w="19050" cap="rnd">
              <a:noFill/>
              <a:round/>
            </a:ln>
            <a:effectLst/>
          </c:spPr>
          <c:xVal>
            <c:numRef>
              <c:f>Sheet2!$Q$14:$Q$16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Sheet2!$R$14:$R$16</c:f>
              <c:numCache>
                <c:formatCode>General</c:formatCode>
                <c:ptCount val="3"/>
                <c:pt idx="0">
                  <c:v>631</c:v>
                </c:pt>
                <c:pt idx="1">
                  <c:v>1267</c:v>
                </c:pt>
                <c:pt idx="2">
                  <c:v>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5772-4DFE-8C6D-BBEA96CC7CE2}"/>
            </c:ext>
          </c:extLst>
        </c:ser>
        <c:ser>
          <c:idx val="9"/>
          <c:order val="8"/>
          <c:spPr>
            <a:ln w="19050" cap="rnd">
              <a:noFill/>
              <a:round/>
            </a:ln>
            <a:effectLst/>
          </c:spPr>
          <c:xVal>
            <c:numRef>
              <c:f>Sheet2!$S$14:$S$16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Sheet2!$T$14:$T$16</c:f>
              <c:numCache>
                <c:formatCode>General</c:formatCode>
                <c:ptCount val="3"/>
                <c:pt idx="0">
                  <c:v>631</c:v>
                </c:pt>
                <c:pt idx="1">
                  <c:v>1266</c:v>
                </c:pt>
                <c:pt idx="2">
                  <c:v>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5772-4DFE-8C6D-BBEA96CC7CE2}"/>
            </c:ext>
          </c:extLst>
        </c:ser>
        <c:ser>
          <c:idx val="0"/>
          <c:order val="9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4.4384733158355207E-2"/>
                  <c:y val="1.5509259259259259E-2"/>
                </c:manualLayout>
              </c:layout>
              <c:numFmt formatCode="General" sourceLinked="0"/>
            </c:trendlineLbl>
          </c:trendline>
          <c:xVal>
            <c:numRef>
              <c:f>Sheet2!$U$14:$U$16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Sheet2!$V$14:$V$16</c:f>
              <c:numCache>
                <c:formatCode>General</c:formatCode>
                <c:ptCount val="3"/>
                <c:pt idx="0">
                  <c:v>632</c:v>
                </c:pt>
                <c:pt idx="1">
                  <c:v>1267</c:v>
                </c:pt>
                <c:pt idx="2">
                  <c:v>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5772-4DFE-8C6D-BBEA96CC7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382992"/>
        <c:axId val="375385944"/>
      </c:scatterChart>
      <c:valAx>
        <c:axId val="37538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u="none" strike="noStrike" baseline="0">
                    <a:effectLst/>
                  </a:rPr>
                  <a:t>Steps (Microstepping 1/2 step)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385944"/>
        <c:crosses val="autoZero"/>
        <c:crossBetween val="midCat"/>
      </c:valAx>
      <c:valAx>
        <c:axId val="375385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um (Mitutoyo dial indicator)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3829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4066754155730539"/>
          <c:y val="0.10959208223972002"/>
          <c:w val="0.15933245844269467"/>
          <c:h val="0.75345472440944883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xVal>
            <c:numRef>
              <c:f>Sheet2!$C$14:$C$16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Sheet2!$D$14:$D$16</c:f>
              <c:numCache>
                <c:formatCode>General</c:formatCode>
                <c:ptCount val="3"/>
                <c:pt idx="0">
                  <c:v>625</c:v>
                </c:pt>
                <c:pt idx="1">
                  <c:v>1258</c:v>
                </c:pt>
                <c:pt idx="2">
                  <c:v>1893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07-4B75-94C5-31C029746012}"/>
            </c:ext>
          </c:extLst>
        </c:ser>
        <c:ser>
          <c:idx val="2"/>
          <c:order val="1"/>
          <c:spPr>
            <a:ln w="19050" cap="rnd">
              <a:noFill/>
              <a:round/>
            </a:ln>
            <a:effectLst/>
          </c:spPr>
          <c:xVal>
            <c:numRef>
              <c:f>Sheet2!$E$14:$E$16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Sheet2!$F$14:$F$16</c:f>
              <c:numCache>
                <c:formatCode>General</c:formatCode>
                <c:ptCount val="3"/>
                <c:pt idx="0">
                  <c:v>627</c:v>
                </c:pt>
                <c:pt idx="1">
                  <c:v>1260</c:v>
                </c:pt>
                <c:pt idx="2">
                  <c:v>1895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07-4B75-94C5-31C029746012}"/>
            </c:ext>
          </c:extLst>
        </c:ser>
        <c:ser>
          <c:idx val="3"/>
          <c:order val="2"/>
          <c:spPr>
            <a:ln w="19050" cap="rnd">
              <a:noFill/>
              <a:round/>
            </a:ln>
            <a:effectLst/>
          </c:spPr>
          <c:xVal>
            <c:numRef>
              <c:f>Sheet2!$G$14:$G$16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Sheet2!$H$14:$H$16</c:f>
              <c:numCache>
                <c:formatCode>General</c:formatCode>
                <c:ptCount val="3"/>
                <c:pt idx="0">
                  <c:v>628</c:v>
                </c:pt>
                <c:pt idx="1">
                  <c:v>1264</c:v>
                </c:pt>
                <c:pt idx="2">
                  <c:v>1899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07-4B75-94C5-31C029746012}"/>
            </c:ext>
          </c:extLst>
        </c:ser>
        <c:ser>
          <c:idx val="4"/>
          <c:order val="3"/>
          <c:spPr>
            <a:ln w="19050" cap="rnd">
              <a:noFill/>
              <a:round/>
            </a:ln>
            <a:effectLst/>
          </c:spPr>
          <c:xVal>
            <c:numRef>
              <c:f>Sheet2!$I$14:$I$16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Sheet2!$J$14:$J$16</c:f>
              <c:numCache>
                <c:formatCode>General</c:formatCode>
                <c:ptCount val="3"/>
                <c:pt idx="0">
                  <c:v>628</c:v>
                </c:pt>
                <c:pt idx="1">
                  <c:v>1263</c:v>
                </c:pt>
                <c:pt idx="2">
                  <c:v>1899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07-4B75-94C5-31C029746012}"/>
            </c:ext>
          </c:extLst>
        </c:ser>
        <c:ser>
          <c:idx val="5"/>
          <c:order val="4"/>
          <c:spPr>
            <a:ln w="19050" cap="rnd">
              <a:noFill/>
              <a:round/>
            </a:ln>
            <a:effectLst/>
          </c:spPr>
          <c:xVal>
            <c:numRef>
              <c:f>Sheet2!$K$14:$K$16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Sheet2!$L$14:$L$16</c:f>
              <c:numCache>
                <c:formatCode>General</c:formatCode>
                <c:ptCount val="3"/>
                <c:pt idx="0">
                  <c:v>631</c:v>
                </c:pt>
                <c:pt idx="1">
                  <c:v>1266</c:v>
                </c:pt>
                <c:pt idx="2">
                  <c:v>1901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07-4B75-94C5-31C029746012}"/>
            </c:ext>
          </c:extLst>
        </c:ser>
        <c:ser>
          <c:idx val="6"/>
          <c:order val="5"/>
          <c:spPr>
            <a:ln w="19050" cap="rnd">
              <a:noFill/>
              <a:round/>
            </a:ln>
            <a:effectLst/>
          </c:spPr>
          <c:xVal>
            <c:numRef>
              <c:f>Sheet2!$M$14:$M$16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Sheet2!$N$14:$N$16</c:f>
              <c:numCache>
                <c:formatCode>General</c:formatCode>
                <c:ptCount val="3"/>
                <c:pt idx="0">
                  <c:v>631</c:v>
                </c:pt>
                <c:pt idx="1">
                  <c:v>1266</c:v>
                </c:pt>
                <c:pt idx="2">
                  <c:v>1901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C07-4B75-94C5-31C029746012}"/>
            </c:ext>
          </c:extLst>
        </c:ser>
        <c:ser>
          <c:idx val="7"/>
          <c:order val="6"/>
          <c:spPr>
            <a:ln w="19050" cap="rnd">
              <a:noFill/>
              <a:round/>
            </a:ln>
            <a:effectLst/>
          </c:spPr>
          <c:xVal>
            <c:numRef>
              <c:f>Sheet2!$O$14:$O$16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Sheet2!$P$14:$P$16</c:f>
              <c:numCache>
                <c:formatCode>General</c:formatCode>
                <c:ptCount val="3"/>
                <c:pt idx="0">
                  <c:v>631</c:v>
                </c:pt>
                <c:pt idx="1">
                  <c:v>1266</c:v>
                </c:pt>
                <c:pt idx="2">
                  <c:v>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C07-4B75-94C5-31C029746012}"/>
            </c:ext>
          </c:extLst>
        </c:ser>
        <c:ser>
          <c:idx val="8"/>
          <c:order val="7"/>
          <c:spPr>
            <a:ln w="19050" cap="rnd">
              <a:noFill/>
              <a:round/>
            </a:ln>
            <a:effectLst/>
          </c:spPr>
          <c:xVal>
            <c:numRef>
              <c:f>Sheet2!$Q$14:$Q$16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Sheet2!$R$14:$R$16</c:f>
              <c:numCache>
                <c:formatCode>General</c:formatCode>
                <c:ptCount val="3"/>
                <c:pt idx="0">
                  <c:v>631</c:v>
                </c:pt>
                <c:pt idx="1">
                  <c:v>1267</c:v>
                </c:pt>
                <c:pt idx="2">
                  <c:v>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C07-4B75-94C5-31C029746012}"/>
            </c:ext>
          </c:extLst>
        </c:ser>
        <c:ser>
          <c:idx val="9"/>
          <c:order val="8"/>
          <c:spPr>
            <a:ln w="19050" cap="rnd">
              <a:noFill/>
              <a:round/>
            </a:ln>
            <a:effectLst/>
          </c:spPr>
          <c:xVal>
            <c:numRef>
              <c:f>Sheet2!$S$14:$S$16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Sheet2!$T$14:$T$16</c:f>
              <c:numCache>
                <c:formatCode>General</c:formatCode>
                <c:ptCount val="3"/>
                <c:pt idx="0">
                  <c:v>631</c:v>
                </c:pt>
                <c:pt idx="1">
                  <c:v>1266</c:v>
                </c:pt>
                <c:pt idx="2">
                  <c:v>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C07-4B75-94C5-31C029746012}"/>
            </c:ext>
          </c:extLst>
        </c:ser>
        <c:ser>
          <c:idx val="0"/>
          <c:order val="9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linear"/>
            <c:dispRSqr val="0"/>
            <c:dispEq val="0"/>
          </c:trendline>
          <c:xVal>
            <c:numRef>
              <c:f>Sheet2!$U$14:$U$16</c:f>
              <c:numCache>
                <c:formatCode>General</c:formatCode>
                <c:ptCount val="3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</c:numCache>
            </c:numRef>
          </c:xVal>
          <c:yVal>
            <c:numRef>
              <c:f>Sheet2!$V$14:$V$16</c:f>
              <c:numCache>
                <c:formatCode>General</c:formatCode>
                <c:ptCount val="3"/>
                <c:pt idx="0">
                  <c:v>632</c:v>
                </c:pt>
                <c:pt idx="1">
                  <c:v>1267</c:v>
                </c:pt>
                <c:pt idx="2">
                  <c:v>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C07-4B75-94C5-31C029746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382992"/>
        <c:axId val="375385944"/>
      </c:scatterChart>
      <c:valAx>
        <c:axId val="375382992"/>
        <c:scaling>
          <c:orientation val="minMax"/>
          <c:max val="810"/>
          <c:min val="7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385944"/>
        <c:crosses val="autoZero"/>
        <c:crossBetween val="midCat"/>
      </c:valAx>
      <c:valAx>
        <c:axId val="375385944"/>
        <c:scaling>
          <c:orientation val="minMax"/>
          <c:max val="1270"/>
          <c:min val="12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38299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13</xdr:row>
      <xdr:rowOff>32656</xdr:rowOff>
    </xdr:from>
    <xdr:to>
      <xdr:col>16</xdr:col>
      <xdr:colOff>57150</xdr:colOff>
      <xdr:row>27</xdr:row>
      <xdr:rowOff>185056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623207</xdr:colOff>
      <xdr:row>17</xdr:row>
      <xdr:rowOff>125186</xdr:rowOff>
    </xdr:from>
    <xdr:to>
      <xdr:col>8</xdr:col>
      <xdr:colOff>623207</xdr:colOff>
      <xdr:row>32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511628</xdr:colOff>
      <xdr:row>18</xdr:row>
      <xdr:rowOff>43542</xdr:rowOff>
    </xdr:from>
    <xdr:to>
      <xdr:col>16</xdr:col>
      <xdr:colOff>511628</xdr:colOff>
      <xdr:row>33</xdr:row>
      <xdr:rowOff>10885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6:J33"/>
  <sheetViews>
    <sheetView tabSelected="1" topLeftCell="A4" workbookViewId="0">
      <selection activeCell="I30" sqref="I30"/>
    </sheetView>
  </sheetViews>
  <sheetFormatPr defaultRowHeight="14.4" x14ac:dyDescent="0.3"/>
  <sheetData>
    <row r="6" spans="5:10" x14ac:dyDescent="0.3">
      <c r="E6" t="s">
        <v>0</v>
      </c>
      <c r="F6" t="s">
        <v>1</v>
      </c>
    </row>
    <row r="7" spans="5:10" x14ac:dyDescent="0.3">
      <c r="E7">
        <v>0</v>
      </c>
      <c r="F7">
        <v>2</v>
      </c>
    </row>
    <row r="8" spans="5:10" x14ac:dyDescent="0.3">
      <c r="E8">
        <v>10</v>
      </c>
      <c r="F8">
        <v>17</v>
      </c>
      <c r="G8">
        <f>F8-F7</f>
        <v>15</v>
      </c>
      <c r="I8" t="s">
        <v>2</v>
      </c>
      <c r="J8">
        <f>AVERAGE(G8:G33)</f>
        <v>15.884615384615385</v>
      </c>
    </row>
    <row r="9" spans="5:10" x14ac:dyDescent="0.3">
      <c r="E9">
        <v>20</v>
      </c>
      <c r="F9">
        <v>33</v>
      </c>
      <c r="G9">
        <f t="shared" ref="G9:G33" si="0">F9-F8</f>
        <v>16</v>
      </c>
    </row>
    <row r="10" spans="5:10" x14ac:dyDescent="0.3">
      <c r="E10">
        <v>30</v>
      </c>
      <c r="F10">
        <v>48</v>
      </c>
      <c r="G10">
        <f t="shared" si="0"/>
        <v>15</v>
      </c>
    </row>
    <row r="11" spans="5:10" x14ac:dyDescent="0.3">
      <c r="E11">
        <v>40</v>
      </c>
      <c r="F11">
        <v>64</v>
      </c>
      <c r="G11">
        <f t="shared" si="0"/>
        <v>16</v>
      </c>
    </row>
    <row r="12" spans="5:10" x14ac:dyDescent="0.3">
      <c r="E12">
        <v>50</v>
      </c>
      <c r="F12">
        <v>80</v>
      </c>
      <c r="G12">
        <f t="shared" si="0"/>
        <v>16</v>
      </c>
    </row>
    <row r="13" spans="5:10" x14ac:dyDescent="0.3">
      <c r="E13">
        <v>60</v>
      </c>
      <c r="F13">
        <v>95</v>
      </c>
      <c r="G13">
        <f t="shared" si="0"/>
        <v>15</v>
      </c>
    </row>
    <row r="14" spans="5:10" x14ac:dyDescent="0.3">
      <c r="E14">
        <v>70</v>
      </c>
      <c r="F14">
        <v>111</v>
      </c>
      <c r="G14">
        <f t="shared" si="0"/>
        <v>16</v>
      </c>
    </row>
    <row r="15" spans="5:10" x14ac:dyDescent="0.3">
      <c r="E15">
        <v>80</v>
      </c>
      <c r="F15">
        <v>127</v>
      </c>
      <c r="G15">
        <f t="shared" si="0"/>
        <v>16</v>
      </c>
    </row>
    <row r="16" spans="5:10" x14ac:dyDescent="0.3">
      <c r="E16">
        <v>90</v>
      </c>
      <c r="F16">
        <v>142</v>
      </c>
      <c r="G16">
        <f t="shared" si="0"/>
        <v>15</v>
      </c>
    </row>
    <row r="17" spans="5:7" x14ac:dyDescent="0.3">
      <c r="E17">
        <v>100</v>
      </c>
      <c r="F17">
        <v>159</v>
      </c>
      <c r="G17">
        <f t="shared" si="0"/>
        <v>17</v>
      </c>
    </row>
    <row r="18" spans="5:7" x14ac:dyDescent="0.3">
      <c r="E18">
        <v>110</v>
      </c>
      <c r="F18">
        <v>174</v>
      </c>
      <c r="G18">
        <f t="shared" si="0"/>
        <v>15</v>
      </c>
    </row>
    <row r="19" spans="5:7" x14ac:dyDescent="0.3">
      <c r="E19">
        <v>120</v>
      </c>
      <c r="F19">
        <v>190</v>
      </c>
      <c r="G19">
        <f t="shared" si="0"/>
        <v>16</v>
      </c>
    </row>
    <row r="20" spans="5:7" x14ac:dyDescent="0.3">
      <c r="E20">
        <v>130</v>
      </c>
      <c r="F20">
        <v>206</v>
      </c>
      <c r="G20">
        <f t="shared" si="0"/>
        <v>16</v>
      </c>
    </row>
    <row r="21" spans="5:7" x14ac:dyDescent="0.3">
      <c r="E21">
        <v>140</v>
      </c>
      <c r="F21">
        <v>222</v>
      </c>
      <c r="G21">
        <f t="shared" si="0"/>
        <v>16</v>
      </c>
    </row>
    <row r="22" spans="5:7" x14ac:dyDescent="0.3">
      <c r="E22">
        <v>150</v>
      </c>
      <c r="F22">
        <v>238</v>
      </c>
      <c r="G22">
        <f t="shared" si="0"/>
        <v>16</v>
      </c>
    </row>
    <row r="23" spans="5:7" x14ac:dyDescent="0.3">
      <c r="E23">
        <v>160</v>
      </c>
      <c r="F23">
        <v>255</v>
      </c>
      <c r="G23">
        <f t="shared" si="0"/>
        <v>17</v>
      </c>
    </row>
    <row r="24" spans="5:7" x14ac:dyDescent="0.3">
      <c r="E24">
        <v>170</v>
      </c>
      <c r="F24">
        <v>271</v>
      </c>
      <c r="G24">
        <f t="shared" si="0"/>
        <v>16</v>
      </c>
    </row>
    <row r="25" spans="5:7" x14ac:dyDescent="0.3">
      <c r="E25">
        <v>180</v>
      </c>
      <c r="F25">
        <v>287</v>
      </c>
      <c r="G25">
        <f t="shared" si="0"/>
        <v>16</v>
      </c>
    </row>
    <row r="26" spans="5:7" x14ac:dyDescent="0.3">
      <c r="E26">
        <v>190</v>
      </c>
      <c r="F26">
        <v>303</v>
      </c>
      <c r="G26">
        <f t="shared" si="0"/>
        <v>16</v>
      </c>
    </row>
    <row r="27" spans="5:7" x14ac:dyDescent="0.3">
      <c r="E27">
        <v>200</v>
      </c>
      <c r="F27">
        <v>319</v>
      </c>
      <c r="G27">
        <f t="shared" si="0"/>
        <v>16</v>
      </c>
    </row>
    <row r="28" spans="5:7" x14ac:dyDescent="0.3">
      <c r="E28">
        <v>210</v>
      </c>
      <c r="F28">
        <v>335</v>
      </c>
      <c r="G28">
        <f t="shared" si="0"/>
        <v>16</v>
      </c>
    </row>
    <row r="29" spans="5:7" x14ac:dyDescent="0.3">
      <c r="E29">
        <v>220</v>
      </c>
      <c r="F29">
        <v>351</v>
      </c>
      <c r="G29">
        <f t="shared" si="0"/>
        <v>16</v>
      </c>
    </row>
    <row r="30" spans="5:7" x14ac:dyDescent="0.3">
      <c r="E30">
        <v>230</v>
      </c>
      <c r="F30">
        <v>367</v>
      </c>
      <c r="G30">
        <f t="shared" si="0"/>
        <v>16</v>
      </c>
    </row>
    <row r="31" spans="5:7" x14ac:dyDescent="0.3">
      <c r="E31">
        <v>240</v>
      </c>
      <c r="F31">
        <v>383</v>
      </c>
      <c r="G31">
        <f t="shared" si="0"/>
        <v>16</v>
      </c>
    </row>
    <row r="32" spans="5:7" x14ac:dyDescent="0.3">
      <c r="E32">
        <v>250</v>
      </c>
      <c r="F32">
        <v>399</v>
      </c>
      <c r="G32">
        <f t="shared" si="0"/>
        <v>16</v>
      </c>
    </row>
    <row r="33" spans="5:7" x14ac:dyDescent="0.3">
      <c r="E33">
        <v>260</v>
      </c>
      <c r="F33">
        <v>415</v>
      </c>
      <c r="G33">
        <f t="shared" si="0"/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V16"/>
  <sheetViews>
    <sheetView topLeftCell="A3" workbookViewId="0">
      <selection activeCell="H38" sqref="H38"/>
    </sheetView>
  </sheetViews>
  <sheetFormatPr defaultRowHeight="14.4" x14ac:dyDescent="0.3"/>
  <sheetData>
    <row r="5" spans="1:22" x14ac:dyDescent="0.3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2" x14ac:dyDescent="0.3">
      <c r="A6" s="6">
        <v>1</v>
      </c>
      <c r="B6" s="6"/>
      <c r="C6" s="7">
        <v>2</v>
      </c>
      <c r="D6" s="7"/>
      <c r="E6" s="8">
        <v>3</v>
      </c>
      <c r="F6" s="8"/>
      <c r="G6" s="9">
        <v>4</v>
      </c>
      <c r="H6" s="9"/>
      <c r="I6" s="10">
        <v>5</v>
      </c>
      <c r="J6" s="10"/>
      <c r="K6" s="11">
        <v>6</v>
      </c>
      <c r="L6" s="11"/>
      <c r="M6" s="2">
        <v>7</v>
      </c>
      <c r="N6" s="2"/>
      <c r="O6" s="3">
        <v>8</v>
      </c>
      <c r="P6" s="3"/>
      <c r="Q6" s="4">
        <v>9</v>
      </c>
      <c r="R6" s="4"/>
      <c r="S6" s="5">
        <v>10</v>
      </c>
      <c r="T6" s="5"/>
    </row>
    <row r="7" spans="1:22" x14ac:dyDescent="0.3">
      <c r="A7">
        <v>316</v>
      </c>
      <c r="B7">
        <v>0</v>
      </c>
      <c r="C7">
        <v>318</v>
      </c>
      <c r="D7">
        <v>0</v>
      </c>
      <c r="E7">
        <v>315</v>
      </c>
      <c r="F7">
        <v>0</v>
      </c>
      <c r="G7">
        <v>315</v>
      </c>
      <c r="H7">
        <v>0</v>
      </c>
      <c r="I7">
        <v>314</v>
      </c>
      <c r="J7">
        <v>0</v>
      </c>
      <c r="K7">
        <v>314</v>
      </c>
      <c r="L7">
        <v>0</v>
      </c>
      <c r="M7">
        <v>314</v>
      </c>
      <c r="N7">
        <v>0</v>
      </c>
      <c r="O7">
        <v>312</v>
      </c>
      <c r="P7">
        <v>0</v>
      </c>
      <c r="Q7">
        <v>313</v>
      </c>
      <c r="R7">
        <v>0</v>
      </c>
      <c r="S7">
        <v>313</v>
      </c>
      <c r="T7">
        <v>0</v>
      </c>
    </row>
    <row r="8" spans="1:22" x14ac:dyDescent="0.3">
      <c r="A8">
        <v>941</v>
      </c>
      <c r="B8">
        <f>A8-A7</f>
        <v>625</v>
      </c>
      <c r="C8">
        <v>945</v>
      </c>
      <c r="D8">
        <f>C8-C7</f>
        <v>627</v>
      </c>
      <c r="E8">
        <v>943</v>
      </c>
      <c r="F8">
        <f>E8-E7</f>
        <v>628</v>
      </c>
      <c r="G8">
        <v>943</v>
      </c>
      <c r="H8">
        <f>G8-G7</f>
        <v>628</v>
      </c>
      <c r="I8">
        <v>945</v>
      </c>
      <c r="J8">
        <f>I8-I7</f>
        <v>631</v>
      </c>
      <c r="K8">
        <v>945</v>
      </c>
      <c r="L8">
        <f>K8-K7</f>
        <v>631</v>
      </c>
      <c r="M8">
        <v>945</v>
      </c>
      <c r="N8">
        <f>M8-M7</f>
        <v>631</v>
      </c>
      <c r="O8">
        <v>943</v>
      </c>
      <c r="P8">
        <f>O8-O7</f>
        <v>631</v>
      </c>
      <c r="Q8">
        <v>944</v>
      </c>
      <c r="R8">
        <f>Q8-Q7</f>
        <v>631</v>
      </c>
      <c r="S8">
        <v>945</v>
      </c>
      <c r="T8">
        <f>S8-S7</f>
        <v>632</v>
      </c>
    </row>
    <row r="9" spans="1:22" x14ac:dyDescent="0.3">
      <c r="A9">
        <v>1574</v>
      </c>
      <c r="B9">
        <f>A9-A8</f>
        <v>633</v>
      </c>
      <c r="C9">
        <v>1578</v>
      </c>
      <c r="D9">
        <f t="shared" ref="D9:D10" si="0">C9-C8</f>
        <v>633</v>
      </c>
      <c r="E9">
        <v>1579</v>
      </c>
      <c r="F9">
        <f t="shared" ref="F9:H9" si="1">E9-E8</f>
        <v>636</v>
      </c>
      <c r="G9">
        <v>1578</v>
      </c>
      <c r="H9">
        <f t="shared" si="1"/>
        <v>635</v>
      </c>
      <c r="I9">
        <v>1580</v>
      </c>
      <c r="J9">
        <f t="shared" ref="J9:L9" si="2">I9-I8</f>
        <v>635</v>
      </c>
      <c r="K9">
        <v>1580</v>
      </c>
      <c r="L9">
        <f t="shared" si="2"/>
        <v>635</v>
      </c>
      <c r="M9">
        <v>1580</v>
      </c>
      <c r="N9">
        <f t="shared" ref="N9:P9" si="3">M9-M8</f>
        <v>635</v>
      </c>
      <c r="O9">
        <v>1579</v>
      </c>
      <c r="P9">
        <f t="shared" si="3"/>
        <v>636</v>
      </c>
      <c r="Q9">
        <v>1579</v>
      </c>
      <c r="R9">
        <f t="shared" ref="R9:T9" si="4">Q9-Q8</f>
        <v>635</v>
      </c>
      <c r="S9">
        <v>1580</v>
      </c>
      <c r="T9">
        <f t="shared" si="4"/>
        <v>635</v>
      </c>
    </row>
    <row r="10" spans="1:22" x14ac:dyDescent="0.3">
      <c r="A10">
        <v>2209</v>
      </c>
      <c r="B10">
        <f>A10-A9</f>
        <v>635</v>
      </c>
      <c r="C10">
        <v>2213</v>
      </c>
      <c r="D10">
        <f t="shared" si="0"/>
        <v>635</v>
      </c>
      <c r="E10">
        <v>2214</v>
      </c>
      <c r="F10">
        <f t="shared" ref="F10:H10" si="5">E10-E9</f>
        <v>635</v>
      </c>
      <c r="G10">
        <v>2214</v>
      </c>
      <c r="H10">
        <f t="shared" si="5"/>
        <v>636</v>
      </c>
      <c r="I10">
        <v>2215</v>
      </c>
      <c r="J10">
        <f t="shared" ref="J10:L10" si="6">I10-I9</f>
        <v>635</v>
      </c>
      <c r="K10">
        <v>2215</v>
      </c>
      <c r="L10">
        <f t="shared" si="6"/>
        <v>635</v>
      </c>
      <c r="M10">
        <v>2216</v>
      </c>
      <c r="N10">
        <f t="shared" ref="N10:P10" si="7">M10-M9</f>
        <v>636</v>
      </c>
      <c r="O10">
        <v>2214</v>
      </c>
      <c r="P10">
        <f t="shared" si="7"/>
        <v>635</v>
      </c>
      <c r="Q10">
        <v>2215</v>
      </c>
      <c r="R10">
        <f t="shared" ref="R10:T10" si="8">Q10-Q9</f>
        <v>636</v>
      </c>
      <c r="S10">
        <v>2215</v>
      </c>
      <c r="T10">
        <f t="shared" si="8"/>
        <v>635</v>
      </c>
    </row>
    <row r="13" spans="1:22" x14ac:dyDescent="0.3">
      <c r="C13" s="1">
        <v>1</v>
      </c>
      <c r="D13" s="1"/>
      <c r="E13" s="1">
        <v>2</v>
      </c>
      <c r="F13" s="1"/>
      <c r="G13" s="1">
        <v>3</v>
      </c>
      <c r="H13" s="1"/>
      <c r="I13" s="1">
        <v>4</v>
      </c>
      <c r="J13" s="1"/>
      <c r="K13" s="1">
        <v>5</v>
      </c>
      <c r="L13" s="1"/>
      <c r="M13" s="1">
        <v>6</v>
      </c>
      <c r="N13" s="1"/>
      <c r="O13" s="1">
        <v>7</v>
      </c>
      <c r="P13" s="1"/>
      <c r="Q13" s="1">
        <v>8</v>
      </c>
      <c r="R13" s="1"/>
      <c r="S13" s="1">
        <v>9</v>
      </c>
      <c r="T13" s="1"/>
      <c r="U13" s="1">
        <v>10</v>
      </c>
      <c r="V13" s="1"/>
    </row>
    <row r="14" spans="1:22" x14ac:dyDescent="0.3">
      <c r="C14">
        <v>400</v>
      </c>
      <c r="D14">
        <f>B8</f>
        <v>625</v>
      </c>
      <c r="E14">
        <v>400</v>
      </c>
      <c r="F14">
        <f>D8</f>
        <v>627</v>
      </c>
      <c r="G14">
        <v>400</v>
      </c>
      <c r="H14">
        <f t="shared" ref="H14:R14" si="9">F8</f>
        <v>628</v>
      </c>
      <c r="I14">
        <v>400</v>
      </c>
      <c r="J14">
        <f t="shared" si="9"/>
        <v>628</v>
      </c>
      <c r="K14">
        <v>400</v>
      </c>
      <c r="L14">
        <f t="shared" si="9"/>
        <v>631</v>
      </c>
      <c r="M14">
        <v>400</v>
      </c>
      <c r="N14">
        <f t="shared" si="9"/>
        <v>631</v>
      </c>
      <c r="O14">
        <v>400</v>
      </c>
      <c r="P14">
        <f t="shared" si="9"/>
        <v>631</v>
      </c>
      <c r="Q14">
        <v>400</v>
      </c>
      <c r="R14">
        <f t="shared" si="9"/>
        <v>631</v>
      </c>
      <c r="S14">
        <v>400</v>
      </c>
      <c r="T14">
        <f>R8</f>
        <v>631</v>
      </c>
      <c r="U14">
        <v>400</v>
      </c>
      <c r="V14">
        <f>T8</f>
        <v>632</v>
      </c>
    </row>
    <row r="15" spans="1:22" x14ac:dyDescent="0.3">
      <c r="C15">
        <v>800</v>
      </c>
      <c r="D15">
        <f>B9+B8</f>
        <v>1258</v>
      </c>
      <c r="E15">
        <v>800</v>
      </c>
      <c r="F15">
        <f>D9+D8</f>
        <v>1260</v>
      </c>
      <c r="G15">
        <v>800</v>
      </c>
      <c r="H15">
        <f t="shared" ref="H15:R15" si="10">F9+F8</f>
        <v>1264</v>
      </c>
      <c r="I15">
        <v>800</v>
      </c>
      <c r="J15">
        <f t="shared" si="10"/>
        <v>1263</v>
      </c>
      <c r="K15">
        <v>800</v>
      </c>
      <c r="L15">
        <f t="shared" si="10"/>
        <v>1266</v>
      </c>
      <c r="M15">
        <v>800</v>
      </c>
      <c r="N15">
        <f t="shared" si="10"/>
        <v>1266</v>
      </c>
      <c r="O15">
        <v>800</v>
      </c>
      <c r="P15">
        <f t="shared" si="10"/>
        <v>1266</v>
      </c>
      <c r="Q15">
        <v>800</v>
      </c>
      <c r="R15">
        <f t="shared" si="10"/>
        <v>1267</v>
      </c>
      <c r="S15">
        <v>800</v>
      </c>
      <c r="T15">
        <f>R9+R8</f>
        <v>1266</v>
      </c>
      <c r="U15">
        <v>800</v>
      </c>
      <c r="V15">
        <f>T9+T8</f>
        <v>1267</v>
      </c>
    </row>
    <row r="16" spans="1:22" x14ac:dyDescent="0.3">
      <c r="C16">
        <v>1200</v>
      </c>
      <c r="D16">
        <f>B10+D15</f>
        <v>1893</v>
      </c>
      <c r="E16">
        <v>1200</v>
      </c>
      <c r="F16">
        <f>D10+F15</f>
        <v>1895</v>
      </c>
      <c r="G16">
        <v>1200</v>
      </c>
      <c r="H16">
        <f t="shared" ref="H16:R16" si="11">F10+H15</f>
        <v>1899</v>
      </c>
      <c r="I16">
        <v>1200</v>
      </c>
      <c r="J16">
        <f t="shared" si="11"/>
        <v>1899</v>
      </c>
      <c r="K16">
        <v>1200</v>
      </c>
      <c r="L16">
        <f t="shared" si="11"/>
        <v>1901</v>
      </c>
      <c r="M16">
        <v>1200</v>
      </c>
      <c r="N16">
        <f t="shared" si="11"/>
        <v>1901</v>
      </c>
      <c r="O16">
        <v>1200</v>
      </c>
      <c r="P16">
        <f t="shared" si="11"/>
        <v>1902</v>
      </c>
      <c r="Q16">
        <v>1200</v>
      </c>
      <c r="R16">
        <f t="shared" si="11"/>
        <v>1902</v>
      </c>
      <c r="S16">
        <v>1200</v>
      </c>
      <c r="T16">
        <f>R10+T15</f>
        <v>1902</v>
      </c>
      <c r="U16">
        <v>1200</v>
      </c>
      <c r="V16">
        <f>T10+V15</f>
        <v>1902</v>
      </c>
    </row>
  </sheetData>
  <mergeCells count="21">
    <mergeCell ref="C13:D13"/>
    <mergeCell ref="E13:F13"/>
    <mergeCell ref="G13:H13"/>
    <mergeCell ref="I13:J13"/>
    <mergeCell ref="K13:L13"/>
    <mergeCell ref="M6:N6"/>
    <mergeCell ref="O6:P6"/>
    <mergeCell ref="Q6:R6"/>
    <mergeCell ref="S6:T6"/>
    <mergeCell ref="A5:T5"/>
    <mergeCell ref="A6:B6"/>
    <mergeCell ref="C6:D6"/>
    <mergeCell ref="E6:F6"/>
    <mergeCell ref="G6:H6"/>
    <mergeCell ref="I6:J6"/>
    <mergeCell ref="K6:L6"/>
    <mergeCell ref="M13:N13"/>
    <mergeCell ref="O13:P13"/>
    <mergeCell ref="Q13:R13"/>
    <mergeCell ref="S13:T13"/>
    <mergeCell ref="U13:V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2523-C342-434D-85A1-D6279D97CCC5}">
  <dimension ref="C4:E13"/>
  <sheetViews>
    <sheetView workbookViewId="0">
      <selection activeCell="C3" sqref="C3"/>
    </sheetView>
  </sheetViews>
  <sheetFormatPr defaultRowHeight="14.4" x14ac:dyDescent="0.3"/>
  <sheetData>
    <row r="4" spans="3:5" x14ac:dyDescent="0.3">
      <c r="C4" s="12">
        <v>625</v>
      </c>
      <c r="D4" s="12">
        <v>1258</v>
      </c>
      <c r="E4" s="12">
        <v>1893</v>
      </c>
    </row>
    <row r="5" spans="3:5" x14ac:dyDescent="0.3">
      <c r="C5" s="12">
        <v>627</v>
      </c>
      <c r="D5" s="12">
        <v>1260</v>
      </c>
      <c r="E5" s="12">
        <v>1895</v>
      </c>
    </row>
    <row r="6" spans="3:5" x14ac:dyDescent="0.3">
      <c r="C6" s="12">
        <v>628</v>
      </c>
      <c r="D6" s="12">
        <v>1264</v>
      </c>
      <c r="E6" s="12">
        <v>1899</v>
      </c>
    </row>
    <row r="7" spans="3:5" x14ac:dyDescent="0.3">
      <c r="C7" s="12">
        <v>628</v>
      </c>
      <c r="D7" s="12">
        <v>1263</v>
      </c>
      <c r="E7" s="12">
        <v>1899</v>
      </c>
    </row>
    <row r="8" spans="3:5" x14ac:dyDescent="0.3">
      <c r="C8" s="12">
        <v>631</v>
      </c>
      <c r="D8" s="12">
        <v>1266</v>
      </c>
      <c r="E8" s="12">
        <v>1901</v>
      </c>
    </row>
    <row r="9" spans="3:5" x14ac:dyDescent="0.3">
      <c r="C9" s="12">
        <v>631</v>
      </c>
      <c r="D9" s="12">
        <v>1266</v>
      </c>
      <c r="E9" s="12">
        <v>1901</v>
      </c>
    </row>
    <row r="10" spans="3:5" x14ac:dyDescent="0.3">
      <c r="C10" s="12">
        <v>631</v>
      </c>
      <c r="D10" s="12">
        <v>1266</v>
      </c>
      <c r="E10" s="12">
        <v>1902</v>
      </c>
    </row>
    <row r="11" spans="3:5" x14ac:dyDescent="0.3">
      <c r="C11" s="12">
        <v>631</v>
      </c>
      <c r="D11" s="12">
        <v>1267</v>
      </c>
      <c r="E11" s="12">
        <v>1902</v>
      </c>
    </row>
    <row r="12" spans="3:5" x14ac:dyDescent="0.3">
      <c r="C12" s="12">
        <v>631</v>
      </c>
      <c r="D12" s="12">
        <v>1266</v>
      </c>
      <c r="E12" s="12">
        <v>1902</v>
      </c>
    </row>
    <row r="13" spans="3:5" x14ac:dyDescent="0.3">
      <c r="C13" s="12">
        <v>632</v>
      </c>
      <c r="D13" s="12">
        <v>1267</v>
      </c>
      <c r="E13" s="12">
        <v>1902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>Francis Crick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Cano Ferrer</dc:creator>
  <cp:lastModifiedBy>Xavier Cano Ferrer</cp:lastModifiedBy>
  <dcterms:created xsi:type="dcterms:W3CDTF">2022-06-22T12:41:58Z</dcterms:created>
  <dcterms:modified xsi:type="dcterms:W3CDTF">2023-09-13T15:57:33Z</dcterms:modified>
</cp:coreProperties>
</file>